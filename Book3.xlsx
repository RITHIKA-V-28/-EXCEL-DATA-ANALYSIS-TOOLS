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 defaultThemeVersion="166925"/>
  <xr:revisionPtr revIDLastSave="137" documentId="11_E60897F41BE170836B02CE998F75CCDC64E183C8" xr6:coauthVersionLast="47" xr6:coauthVersionMax="47" xr10:uidLastSave="{A01061D2-D825-4CC7-8BD1-1F14E9280EB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5" i="1" l="1" a="1"/>
  <c r="B75" i="1"/>
  <c r="H62" i="1" a="1"/>
  <c r="H62" i="1"/>
  <c r="B62" i="1" a="1"/>
  <c r="B62" i="1"/>
  <c r="B53" i="1" a="1"/>
  <c r="B53" i="1"/>
  <c r="I46" i="1" a="1"/>
  <c r="I46" i="1"/>
  <c r="B46" i="1" a="1"/>
  <c r="B46" i="1"/>
  <c r="J29" i="1" a="1"/>
  <c r="J29" i="1"/>
  <c r="C29" i="1" a="1"/>
  <c r="C29" i="1"/>
  <c r="M16" i="1" a="1"/>
  <c r="M16" i="1"/>
  <c r="F15" i="1" a="1"/>
  <c r="F15" i="1"/>
  <c r="K10" i="1"/>
  <c r="K9" i="1"/>
  <c r="J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<sst xmlns="http://schemas.openxmlformats.org/spreadsheetml/2006/main" count="79" uniqueCount="58">
  <si>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</si>
  <si>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</si>
  <si>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</si>
  <si>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</si>
  <si>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</si>
  <si>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</si>
  <si>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</si>
  <si>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</si>
  <si>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</si>
  <si>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</si>
  <si>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</si>
  <si>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</si>
  <si>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</si>
  <si>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</si>
  <si>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</si>
  <si>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</si>
  <si>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</si>
  <si>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</si>
  <si>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</si>
  <si>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</si>
  <si>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</si>
  <si>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</si>
  <si>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</si>
  <si>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</si>
  <si>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TASK 1:</t>
  </si>
  <si>
    <t>E006</t>
  </si>
  <si>
    <t>Maria Lopez</t>
  </si>
  <si>
    <t>Marketing</t>
  </si>
  <si>
    <t>Chennai</t>
  </si>
  <si>
    <t>E007</t>
  </si>
  <si>
    <t>John Paul</t>
  </si>
  <si>
    <t xml:space="preserve">index </t>
  </si>
  <si>
    <t>E008</t>
  </si>
  <si>
    <t>Khushi Jain</t>
  </si>
  <si>
    <t>MATCH+INDEX</t>
  </si>
  <si>
    <t>E009</t>
  </si>
  <si>
    <t>Rohan Mehta</t>
  </si>
  <si>
    <t>Hyderabad</t>
  </si>
  <si>
    <t>E010</t>
  </si>
  <si>
    <t>Aman Verma</t>
  </si>
  <si>
    <t>TASK 2:</t>
  </si>
  <si>
    <t>sort employees alphabetically by employee name</t>
  </si>
  <si>
    <t>sort by salary in descending order</t>
  </si>
  <si>
    <t>Employee</t>
  </si>
  <si>
    <t>salary</t>
  </si>
  <si>
    <t>Joining year</t>
  </si>
  <si>
    <t>sort by dept (a-z),salary (low to high)</t>
  </si>
  <si>
    <t>sort  by joining year(old to new)</t>
  </si>
  <si>
    <t>Employee name</t>
  </si>
  <si>
    <t>Task 3:</t>
  </si>
  <si>
    <t>Filter employee who in the IT department</t>
  </si>
  <si>
    <t>Filter employee who earns more than 60,000</t>
  </si>
  <si>
    <t>Filter employee located in delhi</t>
  </si>
  <si>
    <t>Task 4:</t>
  </si>
  <si>
    <t>Return list of unique department</t>
  </si>
  <si>
    <t>create a sequence of joining year from 2018 to 2023</t>
  </si>
  <si>
    <t>Task 5:</t>
  </si>
  <si>
    <t>create a random array of salary btw 40000 and 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</si>
</sst>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topLeftCell="A23" workbookViewId="0">
      <selection activeCell="A27" sqref="A27:XFD27"/>
    </sheetView>
  </sheetViews>
  <sheetFormatPr defaultRowHeight="15"/>
  <cols>
    <col min="9" max="9" width="13.85546875" customWidth="1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8">
      <c r="A2" s="3" t="s">
        <v>6</v>
      </c>
      <c r="B2" s="4" t="s">
        <v>7</v>
      </c>
      <c r="C2" s="4" t="s">
        <v>8</v>
      </c>
      <c r="D2" s="4">
        <v>55000</v>
      </c>
      <c r="E2" s="4" t="s">
        <v>9</v>
      </c>
      <c r="F2" s="4">
        <v>2021</v>
      </c>
    </row>
    <row r="3" spans="1:18">
      <c r="A3" s="3" t="s">
        <v>10</v>
      </c>
      <c r="B3" s="4" t="s">
        <v>11</v>
      </c>
      <c r="C3" s="4" t="s">
        <v>12</v>
      </c>
      <c r="D3" s="4">
        <v>48000</v>
      </c>
      <c r="E3" s="4" t="s">
        <v>13</v>
      </c>
      <c r="F3" s="4">
        <v>2019</v>
      </c>
    </row>
    <row r="4" spans="1:18">
      <c r="A4" s="3" t="s">
        <v>14</v>
      </c>
      <c r="B4" s="4" t="s">
        <v>15</v>
      </c>
      <c r="C4" s="4" t="s">
        <v>16</v>
      </c>
      <c r="D4" s="4">
        <v>72000</v>
      </c>
      <c r="E4" s="4" t="s">
        <v>17</v>
      </c>
      <c r="F4" s="4">
        <v>2020</v>
      </c>
    </row>
    <row r="5" spans="1:18">
      <c r="A5" s="3" t="s">
        <v>18</v>
      </c>
      <c r="B5" s="4" t="s">
        <v>19</v>
      </c>
      <c r="C5" s="4" t="s">
        <v>16</v>
      </c>
      <c r="D5" s="4">
        <v>69000</v>
      </c>
      <c r="E5" s="4" t="s">
        <v>20</v>
      </c>
      <c r="F5" s="4">
        <v>2022</v>
      </c>
    </row>
    <row r="6" spans="1:18">
      <c r="A6" s="3" t="s">
        <v>21</v>
      </c>
      <c r="B6" s="4" t="s">
        <v>22</v>
      </c>
      <c r="C6" s="4" t="s">
        <v>23</v>
      </c>
      <c r="D6" s="4">
        <v>58000</v>
      </c>
      <c r="E6" s="4" t="s">
        <v>9</v>
      </c>
      <c r="F6" s="4">
        <v>2021</v>
      </c>
      <c r="I6" s="5" t="s">
        <v>24</v>
      </c>
    </row>
    <row r="7" spans="1:18">
      <c r="A7" s="3" t="s">
        <v>25</v>
      </c>
      <c r="B7" s="4" t="s">
        <v>26</v>
      </c>
      <c r="C7" s="4" t="s">
        <v>27</v>
      </c>
      <c r="D7" s="4">
        <v>51000</v>
      </c>
      <c r="E7" s="4" t="s">
        <v>28</v>
      </c>
      <c r="F7" s="4">
        <v>2018</v>
      </c>
    </row>
    <row r="8" spans="1:18">
      <c r="A8" s="3" t="s">
        <v>29</v>
      </c>
      <c r="B8" s="4" t="s">
        <v>30</v>
      </c>
      <c r="C8" s="4" t="s">
        <v>8</v>
      </c>
      <c r="D8" s="4">
        <v>60000</v>
      </c>
      <c r="E8" s="4" t="s">
        <v>13</v>
      </c>
      <c r="F8" s="4">
        <v>2023</v>
      </c>
      <c r="I8" t="s">
        <v>31</v>
      </c>
      <c r="J8">
        <f>INDEX(A2:F11,6,4)</f>
        <v>51000</v>
      </c>
    </row>
    <row r="9" spans="1:18">
      <c r="A9" s="3" t="s">
        <v>32</v>
      </c>
      <c r="B9" s="4" t="s">
        <v>33</v>
      </c>
      <c r="C9" s="4" t="s">
        <v>12</v>
      </c>
      <c r="D9" s="4">
        <v>47000</v>
      </c>
      <c r="E9" s="4" t="s">
        <v>17</v>
      </c>
      <c r="F9" s="4">
        <v>2022</v>
      </c>
      <c r="I9" t="s">
        <v>34</v>
      </c>
      <c r="J9" t="s">
        <v>30</v>
      </c>
      <c r="K9" t="str">
        <f>INDEX(C2:C11,MATCH(J9,B2:B11,0))</f>
        <v>Sales</v>
      </c>
    </row>
    <row r="10" spans="1:18">
      <c r="A10" s="3" t="s">
        <v>35</v>
      </c>
      <c r="B10" s="4" t="s">
        <v>36</v>
      </c>
      <c r="C10" s="4" t="s">
        <v>16</v>
      </c>
      <c r="D10" s="4">
        <v>73000</v>
      </c>
      <c r="E10" s="4" t="s">
        <v>37</v>
      </c>
      <c r="F10" s="4">
        <v>2019</v>
      </c>
      <c r="J10" t="s">
        <v>19</v>
      </c>
      <c r="K10" t="str">
        <f>INDEX(C3:C12,MATCH(J10,B3:B12,0))</f>
        <v>IT</v>
      </c>
    </row>
    <row r="11" spans="1:18">
      <c r="A11" s="3" t="s">
        <v>38</v>
      </c>
      <c r="B11" s="4" t="s">
        <v>39</v>
      </c>
      <c r="C11" s="4" t="s">
        <v>23</v>
      </c>
      <c r="D11" s="4">
        <v>54000</v>
      </c>
      <c r="E11" s="4" t="s">
        <v>9</v>
      </c>
      <c r="F11" s="4">
        <v>2020</v>
      </c>
    </row>
    <row r="13" spans="1:18">
      <c r="B13" s="6" t="s">
        <v>40</v>
      </c>
      <c r="P13" t="s">
        <v>41</v>
      </c>
    </row>
    <row r="15" spans="1:18">
      <c r="B15" t="s">
        <v>42</v>
      </c>
      <c r="F15" t="str" cm="1">
        <f t="array" ref="F15:K25">_xlfn._xlws.SORT(A1:F11,4,-1,FALSE)</f>
        <v>Emp ID</v>
      </c>
      <c r="G15" t="str">
        <v>Employee Name</v>
      </c>
      <c r="H15" t="str">
        <v>Department</v>
      </c>
      <c r="I15" t="str">
        <v>Salary</v>
      </c>
      <c r="J15" t="str">
        <v>Location</v>
      </c>
      <c r="K15" t="str">
        <v>Joining Year</v>
      </c>
      <c r="M15" t="s">
        <v>0</v>
      </c>
      <c r="N15" t="s">
        <v>43</v>
      </c>
      <c r="O15" t="s">
        <v>2</v>
      </c>
      <c r="P15" t="s">
        <v>44</v>
      </c>
      <c r="Q15" t="s">
        <v>4</v>
      </c>
      <c r="R15" t="s">
        <v>45</v>
      </c>
    </row>
    <row r="16" spans="1:18">
      <c r="F16" t="str">
        <v>E009</v>
      </c>
      <c r="G16" t="str">
        <v>Rohan Mehta</v>
      </c>
      <c r="H16" t="str">
        <v>IT</v>
      </c>
      <c r="I16">
        <v>73000</v>
      </c>
      <c r="J16" t="str">
        <v>Hyderabad</v>
      </c>
      <c r="K16">
        <v>2019</v>
      </c>
      <c r="M16" t="str" cm="1">
        <f t="array" ref="M16:R25">_xlfn._xlws.SORT(A2:F11,2,1,FALSE)</f>
        <v>E010</v>
      </c>
      <c r="N16" t="str">
        <v>Aman Verma</v>
      </c>
      <c r="O16" t="str">
        <v>Finance</v>
      </c>
      <c r="P16">
        <v>54000</v>
      </c>
      <c r="Q16" t="str">
        <v>Delhi</v>
      </c>
      <c r="R16">
        <v>2020</v>
      </c>
    </row>
    <row r="17" spans="2:18">
      <c r="F17" t="str">
        <v>E003</v>
      </c>
      <c r="G17" t="str">
        <v>David Mathews</v>
      </c>
      <c r="H17" t="str">
        <v>IT</v>
      </c>
      <c r="I17">
        <v>72000</v>
      </c>
      <c r="J17" t="str">
        <v>Bangalore</v>
      </c>
      <c r="K17">
        <v>2020</v>
      </c>
      <c r="M17" t="str">
        <v>E002</v>
      </c>
      <c r="N17" t="str">
        <v>Anita Singh</v>
      </c>
      <c r="O17" t="str">
        <v>HR</v>
      </c>
      <c r="P17">
        <v>48000</v>
      </c>
      <c r="Q17" t="str">
        <v>Mumbai</v>
      </c>
      <c r="R17">
        <v>2019</v>
      </c>
    </row>
    <row r="18" spans="2:18">
      <c r="F18" t="str">
        <v>E004</v>
      </c>
      <c r="G18" t="str">
        <v>Priya R</v>
      </c>
      <c r="H18" t="str">
        <v>IT</v>
      </c>
      <c r="I18">
        <v>69000</v>
      </c>
      <c r="J18" t="str">
        <v>Pune</v>
      </c>
      <c r="K18">
        <v>2022</v>
      </c>
      <c r="M18" t="str">
        <v>E003</v>
      </c>
      <c r="N18" t="str">
        <v>David Mathews</v>
      </c>
      <c r="O18" t="str">
        <v>IT</v>
      </c>
      <c r="P18">
        <v>72000</v>
      </c>
      <c r="Q18" t="str">
        <v>Bangalore</v>
      </c>
      <c r="R18">
        <v>2020</v>
      </c>
    </row>
    <row r="19" spans="2:18">
      <c r="F19" t="str">
        <v>E007</v>
      </c>
      <c r="G19" t="str">
        <v>John Paul</v>
      </c>
      <c r="H19" t="str">
        <v>Sales</v>
      </c>
      <c r="I19">
        <v>60000</v>
      </c>
      <c r="J19" t="str">
        <v>Mumbai</v>
      </c>
      <c r="K19">
        <v>2023</v>
      </c>
      <c r="M19" t="str">
        <v>E007</v>
      </c>
      <c r="N19" t="str">
        <v>John Paul</v>
      </c>
      <c r="O19" t="str">
        <v>Sales</v>
      </c>
      <c r="P19">
        <v>60000</v>
      </c>
      <c r="Q19" t="str">
        <v>Mumbai</v>
      </c>
      <c r="R19">
        <v>2023</v>
      </c>
    </row>
    <row r="20" spans="2:18">
      <c r="F20" t="str">
        <v>E005</v>
      </c>
      <c r="G20" t="str">
        <v>Sunil Kumar</v>
      </c>
      <c r="H20" t="str">
        <v>Finance</v>
      </c>
      <c r="I20">
        <v>58000</v>
      </c>
      <c r="J20" t="str">
        <v>Delhi</v>
      </c>
      <c r="K20">
        <v>2021</v>
      </c>
      <c r="M20" t="str">
        <v>E008</v>
      </c>
      <c r="N20" t="str">
        <v>Khushi Jain</v>
      </c>
      <c r="O20" t="str">
        <v>HR</v>
      </c>
      <c r="P20">
        <v>47000</v>
      </c>
      <c r="Q20" t="str">
        <v>Bangalore</v>
      </c>
      <c r="R20">
        <v>2022</v>
      </c>
    </row>
    <row r="21" spans="2:18">
      <c r="F21" t="str">
        <v>E001</v>
      </c>
      <c r="G21" t="str">
        <v>Rahul Sharma</v>
      </c>
      <c r="H21" t="str">
        <v>Sales</v>
      </c>
      <c r="I21">
        <v>55000</v>
      </c>
      <c r="J21" t="str">
        <v>Delhi</v>
      </c>
      <c r="K21">
        <v>2021</v>
      </c>
      <c r="M21" t="str">
        <v>E006</v>
      </c>
      <c r="N21" t="str">
        <v>Maria Lopez</v>
      </c>
      <c r="O21" t="str">
        <v>Marketing</v>
      </c>
      <c r="P21">
        <v>51000</v>
      </c>
      <c r="Q21" t="str">
        <v>Chennai</v>
      </c>
      <c r="R21">
        <v>2018</v>
      </c>
    </row>
    <row r="22" spans="2:18">
      <c r="F22" t="str">
        <v>E010</v>
      </c>
      <c r="G22" t="str">
        <v>Aman Verma</v>
      </c>
      <c r="H22" t="str">
        <v>Finance</v>
      </c>
      <c r="I22">
        <v>54000</v>
      </c>
      <c r="J22" t="str">
        <v>Delhi</v>
      </c>
      <c r="K22">
        <v>2020</v>
      </c>
      <c r="M22" t="str">
        <v>E004</v>
      </c>
      <c r="N22" t="str">
        <v>Priya R</v>
      </c>
      <c r="O22" t="str">
        <v>IT</v>
      </c>
      <c r="P22">
        <v>69000</v>
      </c>
      <c r="Q22" t="str">
        <v>Pune</v>
      </c>
      <c r="R22">
        <v>2022</v>
      </c>
    </row>
    <row r="23" spans="2:18">
      <c r="F23" t="str">
        <v>E006</v>
      </c>
      <c r="G23" t="str">
        <v>Maria Lopez</v>
      </c>
      <c r="H23" t="str">
        <v>Marketing</v>
      </c>
      <c r="I23">
        <v>51000</v>
      </c>
      <c r="J23" t="str">
        <v>Chennai</v>
      </c>
      <c r="K23">
        <v>2018</v>
      </c>
      <c r="M23" t="str">
        <v>E001</v>
      </c>
      <c r="N23" t="str">
        <v>Rahul Sharma</v>
      </c>
      <c r="O23" t="str">
        <v>Sales</v>
      </c>
      <c r="P23">
        <v>55000</v>
      </c>
      <c r="Q23" t="str">
        <v>Delhi</v>
      </c>
      <c r="R23">
        <v>2021</v>
      </c>
    </row>
    <row r="24" spans="2:18">
      <c r="F24" t="str">
        <v>E002</v>
      </c>
      <c r="G24" t="str">
        <v>Anita Singh</v>
      </c>
      <c r="H24" t="str">
        <v>HR</v>
      </c>
      <c r="I24">
        <v>48000</v>
      </c>
      <c r="J24" t="str">
        <v>Mumbai</v>
      </c>
      <c r="K24">
        <v>2019</v>
      </c>
      <c r="M24" t="str">
        <v>E009</v>
      </c>
      <c r="N24" t="str">
        <v>Rohan Mehta</v>
      </c>
      <c r="O24" t="str">
        <v>IT</v>
      </c>
      <c r="P24">
        <v>73000</v>
      </c>
      <c r="Q24" t="str">
        <v>Hyderabad</v>
      </c>
      <c r="R24">
        <v>2019</v>
      </c>
    </row>
    <row r="25" spans="2:18">
      <c r="F25" t="str">
        <v>E008</v>
      </c>
      <c r="G25" t="str">
        <v>Khushi Jain</v>
      </c>
      <c r="H25" t="str">
        <v>HR</v>
      </c>
      <c r="I25">
        <v>47000</v>
      </c>
      <c r="J25" t="str">
        <v>Bangalore</v>
      </c>
      <c r="K25">
        <v>2022</v>
      </c>
      <c r="M25" t="str">
        <v>E005</v>
      </c>
      <c r="N25" t="str">
        <v>Sunil Kumar</v>
      </c>
      <c r="O25" t="str">
        <v>Finance</v>
      </c>
      <c r="P25">
        <v>58000</v>
      </c>
      <c r="Q25" t="str">
        <v>Delhi</v>
      </c>
      <c r="R25">
        <v>2021</v>
      </c>
    </row>
    <row r="26" spans="2:18" ht="18.75" customHeight="1"/>
    <row r="27" spans="2:18" ht="33" customHeight="1">
      <c r="B27" t="s">
        <v>46</v>
      </c>
      <c r="J27" t="s">
        <v>47</v>
      </c>
    </row>
    <row r="28" spans="2:18" ht="42.75" customHeight="1">
      <c r="J28" t="s">
        <v>0</v>
      </c>
      <c r="K28" t="s">
        <v>48</v>
      </c>
      <c r="L28" t="s">
        <v>2</v>
      </c>
      <c r="M28" t="s">
        <v>3</v>
      </c>
      <c r="N28" t="s">
        <v>4</v>
      </c>
      <c r="O28" t="s">
        <v>45</v>
      </c>
    </row>
    <row r="29" spans="2:18">
      <c r="C29" t="str" cm="1">
        <f t="array" ref="C29:H39">_xlfn.SORTBY(A1:F11,C1:C11,1,D1:D11,1)</f>
        <v>Emp ID</v>
      </c>
      <c r="D29" t="str">
        <v>Employee Name</v>
      </c>
      <c r="E29" t="str">
        <v>Department</v>
      </c>
      <c r="F29" t="str">
        <v>Salary</v>
      </c>
      <c r="G29" t="str">
        <v>Location</v>
      </c>
      <c r="H29" t="str">
        <v>Joining Year</v>
      </c>
      <c r="J29" t="str" cm="1">
        <f t="array" ref="J29:O38">_xlfn._xlws.SORT(A2:F11,6,1,FALSE)</f>
        <v>E006</v>
      </c>
      <c r="K29" t="str">
        <v>Maria Lopez</v>
      </c>
      <c r="L29" t="str">
        <v>Marketing</v>
      </c>
      <c r="M29">
        <v>51000</v>
      </c>
      <c r="N29" t="str">
        <v>Chennai</v>
      </c>
      <c r="O29">
        <v>2018</v>
      </c>
    </row>
    <row r="30" spans="2:18">
      <c r="C30" t="str">
        <v>E010</v>
      </c>
      <c r="D30" t="str">
        <v>Aman Verma</v>
      </c>
      <c r="E30" t="str">
        <v>Finance</v>
      </c>
      <c r="F30">
        <v>54000</v>
      </c>
      <c r="G30" t="str">
        <v>Delhi</v>
      </c>
      <c r="H30">
        <v>2020</v>
      </c>
      <c r="J30" t="str">
        <v>E002</v>
      </c>
      <c r="K30" t="str">
        <v>Anita Singh</v>
      </c>
      <c r="L30" t="str">
        <v>HR</v>
      </c>
      <c r="M30">
        <v>48000</v>
      </c>
      <c r="N30" t="str">
        <v>Mumbai</v>
      </c>
      <c r="O30">
        <v>2019</v>
      </c>
    </row>
    <row r="31" spans="2:18">
      <c r="C31" t="str">
        <v>E005</v>
      </c>
      <c r="D31" t="str">
        <v>Sunil Kumar</v>
      </c>
      <c r="E31" t="str">
        <v>Finance</v>
      </c>
      <c r="F31">
        <v>58000</v>
      </c>
      <c r="G31" t="str">
        <v>Delhi</v>
      </c>
      <c r="H31">
        <v>2021</v>
      </c>
      <c r="J31" t="str">
        <v>E009</v>
      </c>
      <c r="K31" t="str">
        <v>Rohan Mehta</v>
      </c>
      <c r="L31" t="str">
        <v>IT</v>
      </c>
      <c r="M31">
        <v>73000</v>
      </c>
      <c r="N31" t="str">
        <v>Hyderabad</v>
      </c>
      <c r="O31">
        <v>2019</v>
      </c>
    </row>
    <row r="32" spans="2:18">
      <c r="C32" t="str">
        <v>E008</v>
      </c>
      <c r="D32" t="str">
        <v>Khushi Jain</v>
      </c>
      <c r="E32" t="str">
        <v>HR</v>
      </c>
      <c r="F32">
        <v>47000</v>
      </c>
      <c r="G32" t="str">
        <v>Bangalore</v>
      </c>
      <c r="H32">
        <v>2022</v>
      </c>
      <c r="J32" t="str">
        <v>E003</v>
      </c>
      <c r="K32" t="str">
        <v>David Mathews</v>
      </c>
      <c r="L32" t="str">
        <v>IT</v>
      </c>
      <c r="M32">
        <v>72000</v>
      </c>
      <c r="N32" t="str">
        <v>Bangalore</v>
      </c>
      <c r="O32">
        <v>2020</v>
      </c>
    </row>
    <row r="33" spans="2:15">
      <c r="C33" t="str">
        <v>E002</v>
      </c>
      <c r="D33" t="str">
        <v>Anita Singh</v>
      </c>
      <c r="E33" t="str">
        <v>HR</v>
      </c>
      <c r="F33">
        <v>48000</v>
      </c>
      <c r="G33" t="str">
        <v>Mumbai</v>
      </c>
      <c r="H33">
        <v>2019</v>
      </c>
      <c r="J33" t="str">
        <v>E010</v>
      </c>
      <c r="K33" t="str">
        <v>Aman Verma</v>
      </c>
      <c r="L33" t="str">
        <v>Finance</v>
      </c>
      <c r="M33">
        <v>54000</v>
      </c>
      <c r="N33" t="str">
        <v>Delhi</v>
      </c>
      <c r="O33">
        <v>2020</v>
      </c>
    </row>
    <row r="34" spans="2:15">
      <c r="C34" t="str">
        <v>E004</v>
      </c>
      <c r="D34" t="str">
        <v>Priya R</v>
      </c>
      <c r="E34" t="str">
        <v>IT</v>
      </c>
      <c r="F34">
        <v>69000</v>
      </c>
      <c r="G34" t="str">
        <v>Pune</v>
      </c>
      <c r="H34">
        <v>2022</v>
      </c>
      <c r="J34" t="str">
        <v>E001</v>
      </c>
      <c r="K34" t="str">
        <v>Rahul Sharma</v>
      </c>
      <c r="L34" t="str">
        <v>Sales</v>
      </c>
      <c r="M34">
        <v>55000</v>
      </c>
      <c r="N34" t="str">
        <v>Delhi</v>
      </c>
      <c r="O34">
        <v>2021</v>
      </c>
    </row>
    <row r="35" spans="2:15">
      <c r="C35" t="str">
        <v>E003</v>
      </c>
      <c r="D35" t="str">
        <v>David Mathews</v>
      </c>
      <c r="E35" t="str">
        <v>IT</v>
      </c>
      <c r="F35">
        <v>72000</v>
      </c>
      <c r="G35" t="str">
        <v>Bangalore</v>
      </c>
      <c r="H35">
        <v>2020</v>
      </c>
      <c r="J35" t="str">
        <v>E005</v>
      </c>
      <c r="K35" t="str">
        <v>Sunil Kumar</v>
      </c>
      <c r="L35" t="str">
        <v>Finance</v>
      </c>
      <c r="M35">
        <v>58000</v>
      </c>
      <c r="N35" t="str">
        <v>Delhi</v>
      </c>
      <c r="O35">
        <v>2021</v>
      </c>
    </row>
    <row r="36" spans="2:15">
      <c r="C36" t="str">
        <v>E009</v>
      </c>
      <c r="D36" t="str">
        <v>Rohan Mehta</v>
      </c>
      <c r="E36" t="str">
        <v>IT</v>
      </c>
      <c r="F36">
        <v>73000</v>
      </c>
      <c r="G36" t="str">
        <v>Hyderabad</v>
      </c>
      <c r="H36">
        <v>2019</v>
      </c>
      <c r="J36" t="str">
        <v>E004</v>
      </c>
      <c r="K36" t="str">
        <v>Priya R</v>
      </c>
      <c r="L36" t="str">
        <v>IT</v>
      </c>
      <c r="M36">
        <v>69000</v>
      </c>
      <c r="N36" t="str">
        <v>Pune</v>
      </c>
      <c r="O36">
        <v>2022</v>
      </c>
    </row>
    <row r="37" spans="2:15">
      <c r="C37" t="str">
        <v>E006</v>
      </c>
      <c r="D37" t="str">
        <v>Maria Lopez</v>
      </c>
      <c r="E37" t="str">
        <v>Marketing</v>
      </c>
      <c r="F37">
        <v>51000</v>
      </c>
      <c r="G37" t="str">
        <v>Chennai</v>
      </c>
      <c r="H37">
        <v>2018</v>
      </c>
      <c r="J37" t="str">
        <v>E008</v>
      </c>
      <c r="K37" t="str">
        <v>Khushi Jain</v>
      </c>
      <c r="L37" t="str">
        <v>HR</v>
      </c>
      <c r="M37">
        <v>47000</v>
      </c>
      <c r="N37" t="str">
        <v>Bangalore</v>
      </c>
      <c r="O37">
        <v>2022</v>
      </c>
    </row>
    <row r="38" spans="2:15">
      <c r="C38" t="str">
        <v>E001</v>
      </c>
      <c r="D38" t="str">
        <v>Rahul Sharma</v>
      </c>
      <c r="E38" t="str">
        <v>Sales</v>
      </c>
      <c r="F38">
        <v>55000</v>
      </c>
      <c r="G38" t="str">
        <v>Delhi</v>
      </c>
      <c r="H38">
        <v>2021</v>
      </c>
      <c r="J38" t="str">
        <v>E007</v>
      </c>
      <c r="K38" t="str">
        <v>John Paul</v>
      </c>
      <c r="L38" t="str">
        <v>Sales</v>
      </c>
      <c r="M38">
        <v>60000</v>
      </c>
      <c r="N38" t="str">
        <v>Mumbai</v>
      </c>
      <c r="O38">
        <v>2023</v>
      </c>
    </row>
    <row r="39" spans="2:15">
      <c r="C39" t="str">
        <v>E007</v>
      </c>
      <c r="D39" t="str">
        <v>John Paul</v>
      </c>
      <c r="E39" t="str">
        <v>Sales</v>
      </c>
      <c r="F39">
        <v>60000</v>
      </c>
      <c r="G39" t="str">
        <v>Mumbai</v>
      </c>
      <c r="H39">
        <v>2023</v>
      </c>
    </row>
    <row r="42" spans="2:15">
      <c r="B42" s="5" t="s">
        <v>49</v>
      </c>
    </row>
    <row r="44" spans="2:15">
      <c r="B44" t="s">
        <v>50</v>
      </c>
      <c r="I44" t="s">
        <v>51</v>
      </c>
    </row>
    <row r="46" spans="2:15">
      <c r="B46" t="str" cm="1">
        <f t="array" ref="B46:G48">_xlfn._xlws.FILTER(A1:F11,C1:C11="IT")</f>
        <v>E003</v>
      </c>
      <c r="C46" t="str">
        <v>David Mathews</v>
      </c>
      <c r="D46" t="str">
        <v>IT</v>
      </c>
      <c r="E46">
        <v>72000</v>
      </c>
      <c r="F46" t="str">
        <v>Bangalore</v>
      </c>
      <c r="G46">
        <v>2020</v>
      </c>
      <c r="I46" t="str" cm="1">
        <f t="array" ref="I46:N48">_xlfn._xlws.FILTER(A2:F11,D2:D11&gt;60000)</f>
        <v>E003</v>
      </c>
      <c r="J46" t="str">
        <v>David Mathews</v>
      </c>
      <c r="K46" t="str">
        <v>IT</v>
      </c>
      <c r="L46">
        <v>72000</v>
      </c>
      <c r="M46" t="str">
        <v>Bangalore</v>
      </c>
      <c r="N46">
        <v>2020</v>
      </c>
    </row>
    <row r="47" spans="2:15">
      <c r="B47" t="str">
        <v>E004</v>
      </c>
      <c r="C47" t="str">
        <v>Priya R</v>
      </c>
      <c r="D47" t="str">
        <v>IT</v>
      </c>
      <c r="E47">
        <v>69000</v>
      </c>
      <c r="F47" t="str">
        <v>Pune</v>
      </c>
      <c r="G47">
        <v>2022</v>
      </c>
      <c r="I47" t="str">
        <v>E004</v>
      </c>
      <c r="J47" t="str">
        <v>Priya R</v>
      </c>
      <c r="K47" t="str">
        <v>IT</v>
      </c>
      <c r="L47">
        <v>69000</v>
      </c>
      <c r="M47" t="str">
        <v>Pune</v>
      </c>
      <c r="N47">
        <v>2022</v>
      </c>
    </row>
    <row r="48" spans="2:15">
      <c r="B48" t="str">
        <v>E009</v>
      </c>
      <c r="C48" t="str">
        <v>Rohan Mehta</v>
      </c>
      <c r="D48" t="str">
        <v>IT</v>
      </c>
      <c r="E48">
        <v>73000</v>
      </c>
      <c r="F48" t="str">
        <v>Hyderabad</v>
      </c>
      <c r="G48">
        <v>2019</v>
      </c>
      <c r="I48" t="str">
        <v>E009</v>
      </c>
      <c r="J48" t="str">
        <v>Rohan Mehta</v>
      </c>
      <c r="K48" t="str">
        <v>IT</v>
      </c>
      <c r="L48">
        <v>73000</v>
      </c>
      <c r="M48" t="str">
        <v>Hyderabad</v>
      </c>
      <c r="N48">
        <v>2019</v>
      </c>
    </row>
    <row r="51" spans="2:8">
      <c r="B51" t="s">
        <v>52</v>
      </c>
    </row>
    <row r="53" spans="2:8">
      <c r="B53" t="str" cm="1">
        <f t="array" ref="B53:G55">_xlfn._xlws.FILTER(A1:F11,E1:E11="Delhi")</f>
        <v>E001</v>
      </c>
      <c r="C53" t="str">
        <v>Rahul Sharma</v>
      </c>
      <c r="D53" t="str">
        <v>Sales</v>
      </c>
      <c r="E53">
        <v>55000</v>
      </c>
      <c r="F53" t="str">
        <v>Delhi</v>
      </c>
      <c r="G53">
        <v>2021</v>
      </c>
    </row>
    <row r="54" spans="2:8">
      <c r="B54" t="str">
        <v>E005</v>
      </c>
      <c r="C54" t="str">
        <v>Sunil Kumar</v>
      </c>
      <c r="D54" t="str">
        <v>Finance</v>
      </c>
      <c r="E54">
        <v>58000</v>
      </c>
      <c r="F54" t="str">
        <v>Delhi</v>
      </c>
      <c r="G54">
        <v>2021</v>
      </c>
    </row>
    <row r="55" spans="2:8">
      <c r="B55" t="str">
        <v>E010</v>
      </c>
      <c r="C55" t="str">
        <v>Aman Verma</v>
      </c>
      <c r="D55" t="str">
        <v>Finance</v>
      </c>
      <c r="E55">
        <v>54000</v>
      </c>
      <c r="F55" t="str">
        <v>Delhi</v>
      </c>
      <c r="G55">
        <v>2020</v>
      </c>
    </row>
    <row r="58" spans="2:8">
      <c r="B58" s="5" t="s">
        <v>53</v>
      </c>
    </row>
    <row r="60" spans="2:8">
      <c r="B60" t="s">
        <v>54</v>
      </c>
      <c r="H60" t="s">
        <v>55</v>
      </c>
    </row>
    <row r="61" spans="2:8">
      <c r="H61" t="s">
        <v>45</v>
      </c>
    </row>
    <row r="62" spans="2:8">
      <c r="B62" t="str" cm="1">
        <f t="array" ref="B62:B67">_xlfn.UNIQUE(C1:C11,FALSE,FALSE)</f>
        <v>Department</v>
      </c>
      <c r="H62" cm="1">
        <f t="array" ref="H62:H67">_xlfn.SEQUENCE(6,1,2018,1)</f>
        <v>2018</v>
      </c>
    </row>
    <row r="63" spans="2:8">
      <c r="B63" t="str">
        <v>Sales</v>
      </c>
      <c r="H63">
        <v>2019</v>
      </c>
    </row>
    <row r="64" spans="2:8">
      <c r="B64" t="str">
        <v>HR</v>
      </c>
      <c r="H64">
        <v>2020</v>
      </c>
    </row>
    <row r="65" spans="2:8">
      <c r="B65" t="str">
        <v>IT</v>
      </c>
      <c r="H65">
        <v>2021</v>
      </c>
    </row>
    <row r="66" spans="2:8">
      <c r="B66" t="str">
        <v>Finance</v>
      </c>
      <c r="H66">
        <v>2022</v>
      </c>
    </row>
    <row r="67" spans="2:8">
      <c r="B67" t="str">
        <v>Marketing</v>
      </c>
      <c r="H67">
        <v>2023</v>
      </c>
    </row>
    <row r="70" spans="2:8">
      <c r="B70" s="5" t="s">
        <v>56</v>
      </c>
    </row>
    <row r="72" spans="2:8">
      <c r="B72" t="s">
        <v>57</v>
      </c>
    </row>
    <row r="74" spans="2:8">
      <c r="B74" t="s">
        <v>3</v>
      </c>
    </row>
    <row r="75" spans="2:8">
      <c r="B75" cm="1">
        <f t="array" aca="1" ref="B75:C79" ca="1">_xlfn.RANDARRAY(5,2,40000,80000,TRUE)</f>
        <v>71854</v>
      </c>
      <c r="C75">
        <f ca="1"/>
        <v>49971</v>
      </c>
    </row>
    <row r="76" spans="2:8">
      <c r="B76">
        <f ca="1"/>
        <v>50328</v>
      </c>
      <c r="C76">
        <f ca="1"/>
        <v>58556</v>
      </c>
    </row>
    <row r="77" spans="2:8">
      <c r="B77">
        <f ca="1"/>
        <v>42256</v>
      </c>
      <c r="C77">
        <f ca="1"/>
        <v>57070</v>
      </c>
    </row>
    <row r="78" spans="2:8">
      <c r="B78">
        <f ca="1"/>
        <v>47849</v>
      </c>
      <c r="C78">
        <f ca="1"/>
        <v>52920</v>
      </c>
    </row>
    <row r="79" spans="2:8">
      <c r="B79">
        <f ca="1"/>
        <v>65313</v>
      </c>
      <c r="C79">
        <f ca="1"/>
        <v>50569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Rithika V</cp:lastModifiedBy>
  <cp:revision/>
  <dcterms:created xsi:type="dcterms:W3CDTF">2026-10-01T08:35:25Z</dcterms:created>
  <dcterms:modified xsi:type="dcterms:W3CDTF">2026-10-01T09:55:30Z</dcterms:modified>
  <cp:category/>
  <cp:contentStatus/>
</cp:coreProperties>
</file>